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lexandre/Desktop/Biofilms PhD/1.THÈSE/2. LABORATOIRE/3.DATA PROPRES/EXP1_Manon_0524/"/>
    </mc:Choice>
  </mc:AlternateContent>
  <xr:revisionPtr revIDLastSave="0" documentId="13_ncr:1_{710199F1-DECD-8E4F-B745-E8516BE892B8}" xr6:coauthVersionLast="47" xr6:coauthVersionMax="47" xr10:uidLastSave="{00000000-0000-0000-0000-000000000000}"/>
  <bookViews>
    <workbookView xWindow="-4380" yWindow="-21100" windowWidth="38400" windowHeight="21100" xr2:uid="{7B9707AF-EB60-5741-8637-CA5BA58846AF}"/>
  </bookViews>
  <sheets>
    <sheet name="tot" sheetId="8" r:id="rId1"/>
    <sheet name="metabarcode" sheetId="2" r:id="rId2"/>
    <sheet name="pigments" sheetId="3" r:id="rId3"/>
    <sheet name="pigment reinjection" sheetId="4" r:id="rId4"/>
    <sheet name="untargeted1" sheetId="5" r:id="rId5"/>
    <sheet name="untargeted2" sheetId="7" r:id="rId6"/>
    <sheet name="residuel" sheetId="1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" i="8" l="1"/>
  <c r="I4" i="8"/>
  <c r="I5" i="8"/>
  <c r="I6" i="8"/>
  <c r="I7" i="8"/>
  <c r="I8" i="8"/>
  <c r="I9" i="8"/>
  <c r="I10" i="8"/>
  <c r="I11" i="8"/>
  <c r="I12" i="8"/>
  <c r="I13" i="8"/>
  <c r="I14" i="8"/>
  <c r="I15" i="8"/>
  <c r="I16" i="8"/>
  <c r="I17" i="8"/>
  <c r="I18" i="8"/>
  <c r="I19" i="8"/>
  <c r="I20" i="8"/>
  <c r="I21" i="8"/>
  <c r="I22" i="8"/>
  <c r="I23" i="8"/>
  <c r="I24" i="8"/>
  <c r="I25" i="8"/>
  <c r="I26" i="8"/>
  <c r="I27" i="8"/>
  <c r="I28" i="8"/>
  <c r="I29" i="8"/>
  <c r="I30" i="8"/>
  <c r="I31" i="8"/>
  <c r="I32" i="8"/>
  <c r="I33" i="8"/>
  <c r="I34" i="8"/>
  <c r="I35" i="8"/>
  <c r="I36" i="8"/>
  <c r="I37" i="8"/>
  <c r="I38" i="8"/>
  <c r="I39" i="8"/>
  <c r="I40" i="8"/>
  <c r="I41" i="8"/>
  <c r="I2" i="8"/>
</calcChain>
</file>

<file path=xl/sharedStrings.xml><?xml version="1.0" encoding="utf-8"?>
<sst xmlns="http://schemas.openxmlformats.org/spreadsheetml/2006/main" count="226" uniqueCount="89">
  <si>
    <t>Sample</t>
  </si>
  <si>
    <t>DA_WSB_1</t>
  </si>
  <si>
    <t>DA _WSB_2</t>
  </si>
  <si>
    <t>DA _WSB_3</t>
  </si>
  <si>
    <t>DA_WSB_ 4</t>
  </si>
  <si>
    <t>DA _WSB_5</t>
  </si>
  <si>
    <t>HL _WSB_1</t>
  </si>
  <si>
    <t>HL _WSB_2</t>
  </si>
  <si>
    <t>HL _WSB_3</t>
  </si>
  <si>
    <t>HL _WSB_4</t>
  </si>
  <si>
    <t>HL _WSB_5</t>
  </si>
  <si>
    <t>HP _WSB_1</t>
  </si>
  <si>
    <t>HP _WSB_2</t>
  </si>
  <si>
    <t>HP_WSB_ 3</t>
  </si>
  <si>
    <t>HP _WSB_4</t>
  </si>
  <si>
    <t>HP_WSB_ 5</t>
  </si>
  <si>
    <t>PL_WSB_ 1</t>
  </si>
  <si>
    <t>PL _WSB_2</t>
  </si>
  <si>
    <t>PL_WSB_ 3</t>
  </si>
  <si>
    <t>PL _WSB_4</t>
  </si>
  <si>
    <t>PL_WSB_ 5</t>
  </si>
  <si>
    <t>DA _SB_1</t>
  </si>
  <si>
    <t>DA _SB_2</t>
  </si>
  <si>
    <t>DA _SB_3</t>
  </si>
  <si>
    <t>DA_SB_ 4</t>
  </si>
  <si>
    <t>DA_SB_ 5</t>
  </si>
  <si>
    <t>HL_SB_ 1</t>
  </si>
  <si>
    <t>HL _SB_2</t>
  </si>
  <si>
    <t>HL _SB_3</t>
  </si>
  <si>
    <t>HL_SB_ 4</t>
  </si>
  <si>
    <t>HL _SB_5</t>
  </si>
  <si>
    <t>HP_SB_ 1</t>
  </si>
  <si>
    <t>HP_SB_ 2</t>
  </si>
  <si>
    <t>HP_SB_ 3</t>
  </si>
  <si>
    <t>HP_SB_ 4</t>
  </si>
  <si>
    <t>HP _SB_5</t>
  </si>
  <si>
    <t>PL _SB_1</t>
  </si>
  <si>
    <t>PL_SB_ 2</t>
  </si>
  <si>
    <t>PL _SB_3</t>
  </si>
  <si>
    <t>PL _SB_4</t>
  </si>
  <si>
    <t>PL _SB_5</t>
  </si>
  <si>
    <t>Dry_weight_gr</t>
  </si>
  <si>
    <t>DA_SB_1</t>
  </si>
  <si>
    <t>DA_SB_2</t>
  </si>
  <si>
    <t>DA_SB_3</t>
  </si>
  <si>
    <t>DA_SB_4</t>
  </si>
  <si>
    <t>DA_SB_5</t>
  </si>
  <si>
    <t>HL_SB_1</t>
  </si>
  <si>
    <t>HL_SB_2</t>
  </si>
  <si>
    <t>HL_SB_3</t>
  </si>
  <si>
    <t>HL_SB_4</t>
  </si>
  <si>
    <t>HL_SB_5</t>
  </si>
  <si>
    <t>HP_SB_1</t>
  </si>
  <si>
    <t>HP_SB_2</t>
  </si>
  <si>
    <t>HP_SB_3</t>
  </si>
  <si>
    <t>HP_SB_4</t>
  </si>
  <si>
    <t>HP_SB_5</t>
  </si>
  <si>
    <t>PL_SB_1</t>
  </si>
  <si>
    <t>PL_SB_2</t>
  </si>
  <si>
    <t>PL_SB_3</t>
  </si>
  <si>
    <t>PL_SB_4</t>
  </si>
  <si>
    <t>PL_SB_5</t>
  </si>
  <si>
    <t>DA_WSB_2</t>
  </si>
  <si>
    <t>DA_WSB_3</t>
  </si>
  <si>
    <t>DA_WSB_4</t>
  </si>
  <si>
    <t>DA_WSB_5</t>
  </si>
  <si>
    <t>HL_WSB_1</t>
  </si>
  <si>
    <t>HL_WSB_2</t>
  </si>
  <si>
    <t>HL_WSB_3</t>
  </si>
  <si>
    <t>HL_WSB_4</t>
  </si>
  <si>
    <t>HL_WSB_5</t>
  </si>
  <si>
    <t>HP_WSB_1</t>
  </si>
  <si>
    <t>HP_WSB_2</t>
  </si>
  <si>
    <t>HP_WSB_3</t>
  </si>
  <si>
    <t>HP_WSB_4</t>
  </si>
  <si>
    <t>HP_WSB_5</t>
  </si>
  <si>
    <t>PL_WSB_1</t>
  </si>
  <si>
    <t>PL_WSB_2</t>
  </si>
  <si>
    <t>PL_WSB_3</t>
  </si>
  <si>
    <t>PL_WSB_4</t>
  </si>
  <si>
    <t>PL_WSB_5</t>
  </si>
  <si>
    <t>metabar_Dw_gr</t>
  </si>
  <si>
    <t>pigments1_Dw_gr</t>
  </si>
  <si>
    <t>pigments2_Dw_gr</t>
  </si>
  <si>
    <t>untargeted1_Dw_gr</t>
  </si>
  <si>
    <t>untargeted2_Dw_gr</t>
  </si>
  <si>
    <t>untargeted3_Dw_gr</t>
  </si>
  <si>
    <t>residuel_Dw_gr</t>
  </si>
  <si>
    <t>sum_gr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</si>
</sst>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3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0" borderId="0" xfId="0" applyAlignment="1">
      <alignment horizontal="left" vertical="top"/>
    </xf>
    <xf numFmtId="0" fontId="1" fillId="0" borderId="0" xfId="0" applyFont="1" applyAlignment="1">
      <alignment horizontal="left" vertical="top"/>
    </xf>
    <xf numFmtId="164" fontId="0" fillId="0" borderId="0" xfId="0" applyNumberFormat="1" applyAlignment="1">
      <alignment horizontal="left" vertical="top"/>
    </xf>
    <xf numFmtId="0" fontId="0" fillId="3" borderId="0" xfId="0" applyFill="1" applyAlignment="1">
      <alignment horizontal="left" vertical="top"/>
    </xf>
    <xf numFmtId="164" fontId="0" fillId="3" borderId="0" xfId="0" applyNumberFormat="1" applyFill="1" applyAlignment="1">
      <alignment horizontal="left" vertical="top"/>
    </xf>
    <xf numFmtId="0" fontId="1" fillId="2" borderId="0" xfId="0" applyFont="1" applyFill="1" applyAlignment="1">
      <alignment horizontal="left" vertical="top"/>
    </xf>
    <xf numFmtId="0" fontId="0" fillId="2" borderId="0" xfId="0" applyFill="1" applyAlignment="1">
      <alignment horizontal="left" vertical="top"/>
    </xf>
    <xf numFmtId="0" fontId="1" fillId="3" borderId="0" xfId="0" applyFont="1" applyFill="1" applyAlignment="1">
      <alignment horizontal="left" vertical="top"/>
    </xf>
    <xf numFmtId="0" fontId="0" fillId="3" borderId="0" xfId="0" applyFill="1"/>
  </cellXfs>
  <cellStyles count="1">
    <cellStyle name="Normal" xfId="0" builtinId="0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DBF365-8F19-6241-9235-2C66000984D7}">
  <dimension ref="A1:I41"/>
  <sheetViews>
    <sheetView tabSelected="1" workbookViewId="0">
      <selection activeCell="I1" sqref="I1"/>
    </sheetView>
  </sheetViews>
  <sheetFormatPr baseColWidth="10" defaultRowHeight="16" x14ac:dyDescent="0.2"/>
  <cols>
    <col min="1" max="1" width="14.5" style="2" customWidth="1"/>
    <col min="2" max="2" width="17.1640625" style="2" customWidth="1"/>
    <col min="3" max="3" width="18.1640625" style="2" customWidth="1"/>
    <col min="4" max="4" width="18.6640625" customWidth="1"/>
    <col min="5" max="5" width="18.83203125" style="2" customWidth="1"/>
    <col min="6" max="6" width="22.33203125" customWidth="1"/>
    <col min="7" max="7" width="20" customWidth="1"/>
    <col min="8" max="8" width="19.33203125" customWidth="1"/>
  </cols>
  <sheetData>
    <row r="1" spans="1:9" x14ac:dyDescent="0.2">
      <c r="A1" s="2" t="s">
        <v>0</v>
      </c>
      <c r="B1" s="2" t="s">
        <v>81</v>
      </c>
      <c r="C1" s="2" t="s">
        <v>87</v>
      </c>
      <c r="D1" s="2" t="s">
        <v>82</v>
      </c>
      <c r="E1" s="2" t="s">
        <v>83</v>
      </c>
      <c r="F1" s="2" t="s">
        <v>84</v>
      </c>
      <c r="G1" s="2" t="s">
        <v>85</v>
      </c>
      <c r="H1" s="2" t="s">
        <v>86</v>
      </c>
      <c r="I1" s="2" t="s">
        <v>88</v>
      </c>
    </row>
    <row r="2" spans="1:9" x14ac:dyDescent="0.2">
      <c r="A2" s="3" t="s">
        <v>42</v>
      </c>
      <c r="B2" s="3">
        <v>0.1953</v>
      </c>
      <c r="C2" s="2">
        <v>1.2318</v>
      </c>
      <c r="D2" s="2">
        <v>4.0599999999999997E-2</v>
      </c>
      <c r="F2" s="4">
        <v>0.20300000000000001</v>
      </c>
      <c r="G2" s="4">
        <v>0.2</v>
      </c>
      <c r="I2" s="1">
        <f>SUM(B2:H2)</f>
        <v>1.8707</v>
      </c>
    </row>
    <row r="3" spans="1:9" x14ac:dyDescent="0.2">
      <c r="A3" s="3" t="s">
        <v>43</v>
      </c>
      <c r="B3" s="3">
        <v>0.20150000000000001</v>
      </c>
      <c r="C3" s="2">
        <v>1.2735000000000001</v>
      </c>
      <c r="D3" s="2">
        <v>4.1399999999999999E-2</v>
      </c>
      <c r="F3" s="2">
        <v>0.2009</v>
      </c>
      <c r="G3" s="2">
        <v>0.20280000000000001</v>
      </c>
      <c r="H3" s="4">
        <v>0.2006</v>
      </c>
      <c r="I3" s="1">
        <f t="shared" ref="I3:I41" si="0">SUM(B3:H3)</f>
        <v>2.1207000000000003</v>
      </c>
    </row>
    <row r="4" spans="1:9" ht="17" customHeight="1" x14ac:dyDescent="0.2">
      <c r="A4" s="3" t="s">
        <v>44</v>
      </c>
      <c r="B4" s="3">
        <v>0.20830000000000001</v>
      </c>
      <c r="C4" s="2">
        <v>1.242</v>
      </c>
      <c r="D4" s="2">
        <v>4.1700000000000001E-2</v>
      </c>
      <c r="F4" s="4">
        <v>0.2006</v>
      </c>
      <c r="G4" s="4">
        <v>0.20799999999999999</v>
      </c>
      <c r="I4" s="1">
        <f t="shared" si="0"/>
        <v>1.9006000000000001</v>
      </c>
    </row>
    <row r="5" spans="1:9" x14ac:dyDescent="0.2">
      <c r="A5" s="3" t="s">
        <v>45</v>
      </c>
      <c r="B5" s="3">
        <v>0.20219999999999999</v>
      </c>
      <c r="C5" s="2">
        <v>1.7332000000000001</v>
      </c>
      <c r="D5" s="2">
        <v>3.9899999999999998E-2</v>
      </c>
      <c r="F5" s="2">
        <v>0.2006</v>
      </c>
      <c r="G5" s="2">
        <v>0.20280000000000001</v>
      </c>
      <c r="I5" s="1">
        <f t="shared" si="0"/>
        <v>2.3786999999999998</v>
      </c>
    </row>
    <row r="6" spans="1:9" x14ac:dyDescent="0.2">
      <c r="A6" s="3" t="s">
        <v>46</v>
      </c>
      <c r="B6" s="3">
        <v>0.2039</v>
      </c>
      <c r="C6" s="2">
        <v>1.5331999999999999</v>
      </c>
      <c r="D6" s="2">
        <v>3.9800000000000002E-2</v>
      </c>
      <c r="F6" s="4">
        <v>0.20069999999999999</v>
      </c>
      <c r="G6" s="4">
        <v>0.20130000000000001</v>
      </c>
      <c r="I6" s="1">
        <f t="shared" si="0"/>
        <v>2.1788999999999996</v>
      </c>
    </row>
    <row r="7" spans="1:9" s="10" customFormat="1" x14ac:dyDescent="0.2">
      <c r="A7" s="9" t="s">
        <v>1</v>
      </c>
      <c r="B7" s="9">
        <v>0.1905</v>
      </c>
      <c r="C7" s="5">
        <v>0.11799999999999999</v>
      </c>
      <c r="D7" s="5">
        <v>1.03E-2</v>
      </c>
      <c r="E7" s="5"/>
      <c r="I7" s="10">
        <f t="shared" si="0"/>
        <v>0.31879999999999997</v>
      </c>
    </row>
    <row r="8" spans="1:9" s="10" customFormat="1" x14ac:dyDescent="0.2">
      <c r="A8" s="9" t="s">
        <v>62</v>
      </c>
      <c r="B8" s="9">
        <v>0.19539999999999999</v>
      </c>
      <c r="C8" s="5">
        <v>9.8100000000000007E-2</v>
      </c>
      <c r="D8" s="5">
        <v>1.18E-2</v>
      </c>
      <c r="E8" s="5"/>
      <c r="I8" s="10">
        <f t="shared" si="0"/>
        <v>0.30529999999999996</v>
      </c>
    </row>
    <row r="9" spans="1:9" s="10" customFormat="1" x14ac:dyDescent="0.2">
      <c r="A9" s="9" t="s">
        <v>63</v>
      </c>
      <c r="B9" s="9">
        <v>0.1918</v>
      </c>
      <c r="C9" s="5">
        <v>0.1346</v>
      </c>
      <c r="D9" s="5">
        <v>1.17E-2</v>
      </c>
      <c r="E9" s="5"/>
      <c r="G9" s="5"/>
      <c r="I9" s="10">
        <f t="shared" si="0"/>
        <v>0.33810000000000001</v>
      </c>
    </row>
    <row r="10" spans="1:9" s="10" customFormat="1" x14ac:dyDescent="0.2">
      <c r="A10" s="9" t="s">
        <v>64</v>
      </c>
      <c r="B10" s="9">
        <v>0.1903</v>
      </c>
      <c r="C10" s="5">
        <v>0.12479999999999999</v>
      </c>
      <c r="D10" s="5">
        <v>1.1299999999999999E-2</v>
      </c>
      <c r="E10" s="5"/>
      <c r="G10" s="5"/>
      <c r="I10" s="10">
        <f t="shared" si="0"/>
        <v>0.32639999999999997</v>
      </c>
    </row>
    <row r="11" spans="1:9" s="10" customFormat="1" x14ac:dyDescent="0.2">
      <c r="A11" s="9" t="s">
        <v>65</v>
      </c>
      <c r="B11" s="9">
        <v>0.19259999999999999</v>
      </c>
      <c r="C11" s="5">
        <v>0.13139999999999999</v>
      </c>
      <c r="D11" s="5">
        <v>1.12E-2</v>
      </c>
      <c r="E11" s="5"/>
      <c r="G11" s="5"/>
      <c r="I11" s="10">
        <f t="shared" si="0"/>
        <v>0.33519999999999994</v>
      </c>
    </row>
    <row r="12" spans="1:9" x14ac:dyDescent="0.2">
      <c r="A12" s="3" t="s">
        <v>47</v>
      </c>
      <c r="B12" s="3">
        <v>0.20030000000000001</v>
      </c>
      <c r="C12" s="2">
        <v>1.3956</v>
      </c>
      <c r="D12" s="2">
        <v>4.1700000000000001E-2</v>
      </c>
      <c r="F12" s="2">
        <v>0.2001</v>
      </c>
      <c r="G12" s="2">
        <v>0.20130000000000001</v>
      </c>
      <c r="I12" s="1">
        <f t="shared" si="0"/>
        <v>2.0389999999999997</v>
      </c>
    </row>
    <row r="13" spans="1:9" x14ac:dyDescent="0.2">
      <c r="A13" s="3" t="s">
        <v>48</v>
      </c>
      <c r="B13" s="3">
        <v>0.2001</v>
      </c>
      <c r="C13" s="2">
        <v>1.3835</v>
      </c>
      <c r="D13" s="4">
        <v>4.1000000000000002E-2</v>
      </c>
      <c r="F13" s="4">
        <v>0.20130000000000001</v>
      </c>
      <c r="G13" s="4">
        <v>0.20269999999999999</v>
      </c>
      <c r="I13" s="1">
        <f t="shared" si="0"/>
        <v>2.0286</v>
      </c>
    </row>
    <row r="14" spans="1:9" x14ac:dyDescent="0.2">
      <c r="A14" s="3" t="s">
        <v>49</v>
      </c>
      <c r="B14" s="3">
        <v>0.2021</v>
      </c>
      <c r="C14" s="2">
        <v>1.3904000000000001</v>
      </c>
      <c r="D14" s="2">
        <v>4.07E-2</v>
      </c>
      <c r="F14" s="4">
        <v>0.2006</v>
      </c>
      <c r="G14" s="4">
        <v>0.20100000000000001</v>
      </c>
      <c r="I14" s="1">
        <f t="shared" si="0"/>
        <v>2.0348000000000002</v>
      </c>
    </row>
    <row r="15" spans="1:9" x14ac:dyDescent="0.2">
      <c r="A15" s="3" t="s">
        <v>50</v>
      </c>
      <c r="B15" s="3">
        <v>0.1953</v>
      </c>
      <c r="C15" s="2">
        <v>1.1893</v>
      </c>
      <c r="D15" s="2">
        <v>3.9600000000000003E-2</v>
      </c>
      <c r="F15" s="4">
        <v>0.2019</v>
      </c>
      <c r="G15" s="4">
        <v>0.2074</v>
      </c>
      <c r="I15" s="1">
        <f t="shared" si="0"/>
        <v>1.8335000000000001</v>
      </c>
    </row>
    <row r="16" spans="1:9" x14ac:dyDescent="0.2">
      <c r="A16" s="3" t="s">
        <v>51</v>
      </c>
      <c r="B16" s="3">
        <v>0.1946</v>
      </c>
      <c r="C16" s="2">
        <v>1.446</v>
      </c>
      <c r="D16" s="4">
        <v>0.04</v>
      </c>
      <c r="E16" s="2">
        <v>4.2200000000000001E-2</v>
      </c>
      <c r="F16" s="4">
        <v>0.2011</v>
      </c>
      <c r="G16" s="4">
        <v>0.20100000000000001</v>
      </c>
      <c r="I16" s="1">
        <f t="shared" si="0"/>
        <v>2.1249000000000002</v>
      </c>
    </row>
    <row r="17" spans="1:9" s="10" customFormat="1" x14ac:dyDescent="0.2">
      <c r="A17" s="9" t="s">
        <v>66</v>
      </c>
      <c r="B17" s="9">
        <v>0.19689999999999999</v>
      </c>
      <c r="C17" s="5">
        <v>0.1158</v>
      </c>
      <c r="D17" s="5">
        <v>1.11E-2</v>
      </c>
      <c r="E17" s="5"/>
      <c r="I17" s="10">
        <f t="shared" si="0"/>
        <v>0.32379999999999998</v>
      </c>
    </row>
    <row r="18" spans="1:9" s="10" customFormat="1" x14ac:dyDescent="0.2">
      <c r="A18" s="9" t="s">
        <v>67</v>
      </c>
      <c r="B18" s="9">
        <v>0.2</v>
      </c>
      <c r="C18" s="5">
        <v>5.3800000000000001E-2</v>
      </c>
      <c r="D18" s="5">
        <v>1.1599999999999999E-2</v>
      </c>
      <c r="E18" s="5"/>
      <c r="I18" s="10">
        <f t="shared" si="0"/>
        <v>0.26540000000000002</v>
      </c>
    </row>
    <row r="19" spans="1:9" s="10" customFormat="1" x14ac:dyDescent="0.2">
      <c r="A19" s="9" t="s">
        <v>68</v>
      </c>
      <c r="B19" s="9">
        <v>0.19719999999999999</v>
      </c>
      <c r="C19" s="5">
        <v>0</v>
      </c>
      <c r="D19" s="5">
        <v>1.0800000000000001E-2</v>
      </c>
      <c r="E19" s="5"/>
      <c r="I19" s="10">
        <f t="shared" si="0"/>
        <v>0.20799999999999999</v>
      </c>
    </row>
    <row r="20" spans="1:9" s="10" customFormat="1" x14ac:dyDescent="0.2">
      <c r="A20" s="9" t="s">
        <v>69</v>
      </c>
      <c r="B20" s="9">
        <v>0.1991</v>
      </c>
      <c r="C20" s="5">
        <v>4.7199999999999999E-2</v>
      </c>
      <c r="D20" s="5">
        <v>1.14E-2</v>
      </c>
      <c r="E20" s="5"/>
      <c r="I20" s="10">
        <f t="shared" si="0"/>
        <v>0.25769999999999998</v>
      </c>
    </row>
    <row r="21" spans="1:9" s="10" customFormat="1" x14ac:dyDescent="0.2">
      <c r="A21" s="9" t="s">
        <v>70</v>
      </c>
      <c r="B21" s="9">
        <v>0.1913</v>
      </c>
      <c r="C21" s="5">
        <v>0.11210000000000001</v>
      </c>
      <c r="D21" s="5">
        <v>1.12E-2</v>
      </c>
      <c r="E21" s="5"/>
      <c r="I21" s="10">
        <f t="shared" si="0"/>
        <v>0.31459999999999999</v>
      </c>
    </row>
    <row r="22" spans="1:9" x14ac:dyDescent="0.2">
      <c r="A22" s="3" t="s">
        <v>52</v>
      </c>
      <c r="B22" s="3">
        <v>0.21049999999999999</v>
      </c>
      <c r="C22" s="2">
        <v>1.9973000000000001</v>
      </c>
      <c r="D22" s="2">
        <v>4.07E-2</v>
      </c>
      <c r="F22" s="4">
        <v>0.20069999999999999</v>
      </c>
      <c r="G22" s="4">
        <v>0.2</v>
      </c>
      <c r="I22" s="1">
        <f t="shared" si="0"/>
        <v>2.6492000000000004</v>
      </c>
    </row>
    <row r="23" spans="1:9" x14ac:dyDescent="0.2">
      <c r="A23" s="3" t="s">
        <v>53</v>
      </c>
      <c r="B23" s="3">
        <v>0.20330000000000001</v>
      </c>
      <c r="C23" s="2">
        <v>2.2157</v>
      </c>
      <c r="D23" s="4">
        <v>4.1000000000000002E-2</v>
      </c>
      <c r="F23" s="4">
        <v>0.20100000000000001</v>
      </c>
      <c r="G23" s="4">
        <v>0.2046</v>
      </c>
      <c r="I23" s="1">
        <f t="shared" si="0"/>
        <v>2.8656000000000001</v>
      </c>
    </row>
    <row r="24" spans="1:9" x14ac:dyDescent="0.2">
      <c r="A24" s="3" t="s">
        <v>54</v>
      </c>
      <c r="B24" s="3">
        <v>0.20430000000000001</v>
      </c>
      <c r="C24" s="2">
        <v>1.8138000000000001</v>
      </c>
      <c r="D24" s="2">
        <v>4.0800000000000003E-2</v>
      </c>
      <c r="E24" s="2">
        <v>4.0899999999999999E-2</v>
      </c>
      <c r="F24" s="4">
        <v>0.20100000000000001</v>
      </c>
      <c r="G24" s="4">
        <v>0.20380000000000001</v>
      </c>
      <c r="I24" s="1">
        <f t="shared" si="0"/>
        <v>2.5046000000000004</v>
      </c>
    </row>
    <row r="25" spans="1:9" x14ac:dyDescent="0.2">
      <c r="A25" s="3" t="s">
        <v>55</v>
      </c>
      <c r="B25" s="3">
        <v>0.19700000000000001</v>
      </c>
      <c r="C25" s="2">
        <v>1.5185999999999999</v>
      </c>
      <c r="D25" s="2">
        <v>4.0300000000000002E-2</v>
      </c>
      <c r="F25" s="4">
        <v>0.20130000000000001</v>
      </c>
      <c r="G25" s="4">
        <v>0.20050000000000001</v>
      </c>
      <c r="I25" s="1">
        <f t="shared" si="0"/>
        <v>2.1577000000000002</v>
      </c>
    </row>
    <row r="26" spans="1:9" x14ac:dyDescent="0.2">
      <c r="A26" s="3" t="s">
        <v>56</v>
      </c>
      <c r="B26" s="3">
        <v>0.19869999999999999</v>
      </c>
      <c r="C26" s="2">
        <v>1.6367</v>
      </c>
      <c r="D26" s="2">
        <v>4.1799999999999997E-2</v>
      </c>
      <c r="F26" s="4">
        <v>0.20019999999999999</v>
      </c>
      <c r="G26" s="2">
        <v>0.20230000000000001</v>
      </c>
      <c r="I26" s="1">
        <f t="shared" si="0"/>
        <v>2.2797000000000001</v>
      </c>
    </row>
    <row r="27" spans="1:9" s="10" customFormat="1" x14ac:dyDescent="0.2">
      <c r="A27" s="9" t="s">
        <v>71</v>
      </c>
      <c r="B27" s="9">
        <v>0.19309999999999999</v>
      </c>
      <c r="C27" s="5">
        <v>9.4500000000000001E-2</v>
      </c>
      <c r="D27" s="5">
        <v>1.11E-2</v>
      </c>
      <c r="E27" s="5"/>
      <c r="I27" s="10">
        <f t="shared" si="0"/>
        <v>0.29869999999999997</v>
      </c>
    </row>
    <row r="28" spans="1:9" s="10" customFormat="1" x14ac:dyDescent="0.2">
      <c r="A28" s="9" t="s">
        <v>72</v>
      </c>
      <c r="B28" s="9">
        <v>0.18809999999999999</v>
      </c>
      <c r="C28" s="5">
        <v>9.6799999999999997E-2</v>
      </c>
      <c r="D28" s="5">
        <v>1.1299999999999999E-2</v>
      </c>
      <c r="E28" s="5"/>
      <c r="I28" s="10">
        <f t="shared" si="0"/>
        <v>0.29619999999999996</v>
      </c>
    </row>
    <row r="29" spans="1:9" s="10" customFormat="1" x14ac:dyDescent="0.2">
      <c r="A29" s="9" t="s">
        <v>73</v>
      </c>
      <c r="B29" s="9">
        <v>0.19070000000000001</v>
      </c>
      <c r="C29" s="5">
        <v>9.8199999999999996E-2</v>
      </c>
      <c r="D29" s="5">
        <v>1.14E-2</v>
      </c>
      <c r="E29" s="5"/>
      <c r="I29" s="10">
        <f t="shared" si="0"/>
        <v>0.30030000000000001</v>
      </c>
    </row>
    <row r="30" spans="1:9" s="10" customFormat="1" x14ac:dyDescent="0.2">
      <c r="A30" s="9" t="s">
        <v>74</v>
      </c>
      <c r="B30" s="9">
        <v>0.191</v>
      </c>
      <c r="C30" s="5">
        <v>7.8200000000000006E-2</v>
      </c>
      <c r="D30" s="5">
        <v>1.0500000000000001E-2</v>
      </c>
      <c r="E30" s="5"/>
      <c r="I30" s="10">
        <f t="shared" si="0"/>
        <v>0.2797</v>
      </c>
    </row>
    <row r="31" spans="1:9" s="10" customFormat="1" x14ac:dyDescent="0.2">
      <c r="A31" s="9" t="s">
        <v>75</v>
      </c>
      <c r="B31" s="9">
        <v>0.1951</v>
      </c>
      <c r="C31" s="5">
        <v>0.1089</v>
      </c>
      <c r="D31" s="5">
        <v>1.12E-2</v>
      </c>
      <c r="E31" s="5"/>
      <c r="I31" s="10">
        <f t="shared" si="0"/>
        <v>0.31519999999999998</v>
      </c>
    </row>
    <row r="32" spans="1:9" x14ac:dyDescent="0.2">
      <c r="A32" s="3" t="s">
        <v>57</v>
      </c>
      <c r="B32" s="3">
        <v>0.20100000000000001</v>
      </c>
      <c r="C32" s="2">
        <v>1.4218999999999999</v>
      </c>
      <c r="D32" s="2">
        <v>4.1700000000000001E-2</v>
      </c>
      <c r="F32" s="4">
        <v>0.20069999999999999</v>
      </c>
      <c r="G32" s="4">
        <v>0.2011</v>
      </c>
      <c r="I32" s="1">
        <f t="shared" si="0"/>
        <v>2.0663999999999998</v>
      </c>
    </row>
    <row r="33" spans="1:9" x14ac:dyDescent="0.2">
      <c r="A33" s="3" t="s">
        <v>58</v>
      </c>
      <c r="B33" s="3">
        <v>0.1976</v>
      </c>
      <c r="C33" s="2">
        <v>1.1621999999999999</v>
      </c>
      <c r="D33" s="2">
        <v>4.19E-2</v>
      </c>
      <c r="F33" s="4">
        <v>0.2</v>
      </c>
      <c r="G33" s="4">
        <v>0.20419999999999999</v>
      </c>
      <c r="I33" s="1">
        <f t="shared" si="0"/>
        <v>1.8058999999999998</v>
      </c>
    </row>
    <row r="34" spans="1:9" x14ac:dyDescent="0.2">
      <c r="A34" s="3" t="s">
        <v>59</v>
      </c>
      <c r="B34" s="3">
        <v>0.20030000000000001</v>
      </c>
      <c r="C34" s="2">
        <v>1.7272000000000001</v>
      </c>
      <c r="D34" s="2">
        <v>4.0500000000000001E-2</v>
      </c>
      <c r="F34" s="4">
        <v>0.20080000000000001</v>
      </c>
      <c r="G34" s="4">
        <v>0.20269999999999999</v>
      </c>
      <c r="I34" s="1">
        <f t="shared" si="0"/>
        <v>2.3715000000000002</v>
      </c>
    </row>
    <row r="35" spans="1:9" x14ac:dyDescent="0.2">
      <c r="A35" s="3" t="s">
        <v>60</v>
      </c>
      <c r="B35" s="3">
        <v>0.19739999999999999</v>
      </c>
      <c r="C35" s="2">
        <v>1.9366000000000001</v>
      </c>
      <c r="D35" s="2">
        <v>4.0500000000000001E-2</v>
      </c>
      <c r="E35" s="2">
        <v>4.0399999999999998E-2</v>
      </c>
      <c r="F35" s="4">
        <v>0.2006</v>
      </c>
      <c r="G35" s="4">
        <v>0.20219999999999999</v>
      </c>
      <c r="I35" s="1">
        <f t="shared" si="0"/>
        <v>2.6177000000000001</v>
      </c>
    </row>
    <row r="36" spans="1:9" x14ac:dyDescent="0.2">
      <c r="A36" s="3" t="s">
        <v>61</v>
      </c>
      <c r="B36" s="3">
        <v>0.20780000000000001</v>
      </c>
      <c r="C36" s="2">
        <v>1.1220000000000001</v>
      </c>
      <c r="D36" s="2">
        <v>4.0800000000000003E-2</v>
      </c>
      <c r="E36" s="2">
        <v>3.9899999999999998E-2</v>
      </c>
      <c r="F36" s="4">
        <v>0.2009</v>
      </c>
      <c r="G36" s="4">
        <v>0.20030000000000001</v>
      </c>
      <c r="I36" s="1">
        <f t="shared" si="0"/>
        <v>1.8117000000000001</v>
      </c>
    </row>
    <row r="37" spans="1:9" s="10" customFormat="1" x14ac:dyDescent="0.2">
      <c r="A37" s="9" t="s">
        <v>76</v>
      </c>
      <c r="B37" s="9">
        <v>0.19040000000000001</v>
      </c>
      <c r="C37" s="5">
        <v>9.2399999999999996E-2</v>
      </c>
      <c r="D37" s="5">
        <v>1.09E-2</v>
      </c>
      <c r="E37" s="5"/>
      <c r="I37" s="10">
        <f t="shared" si="0"/>
        <v>0.29370000000000002</v>
      </c>
    </row>
    <row r="38" spans="1:9" s="10" customFormat="1" x14ac:dyDescent="0.2">
      <c r="A38" s="9" t="s">
        <v>77</v>
      </c>
      <c r="B38" s="9">
        <v>0.1951</v>
      </c>
      <c r="C38" s="5">
        <v>0.12139999999999999</v>
      </c>
      <c r="D38" s="5">
        <v>1.1599999999999999E-2</v>
      </c>
      <c r="E38" s="5"/>
      <c r="I38" s="10">
        <f t="shared" si="0"/>
        <v>0.3281</v>
      </c>
    </row>
    <row r="39" spans="1:9" s="10" customFormat="1" x14ac:dyDescent="0.2">
      <c r="A39" s="9" t="s">
        <v>78</v>
      </c>
      <c r="B39" s="9">
        <v>0.1898</v>
      </c>
      <c r="C39" s="5">
        <v>0.12670000000000001</v>
      </c>
      <c r="D39" s="5">
        <v>1.15E-2</v>
      </c>
      <c r="E39" s="5"/>
      <c r="I39" s="10">
        <f t="shared" si="0"/>
        <v>0.32800000000000001</v>
      </c>
    </row>
    <row r="40" spans="1:9" s="10" customFormat="1" x14ac:dyDescent="0.2">
      <c r="A40" s="9" t="s">
        <v>79</v>
      </c>
      <c r="B40" s="9">
        <v>0.19839999999999999</v>
      </c>
      <c r="C40" s="5">
        <v>0.1008</v>
      </c>
      <c r="D40" s="5">
        <v>1.1299999999999999E-2</v>
      </c>
      <c r="E40" s="5"/>
      <c r="I40" s="10">
        <f t="shared" si="0"/>
        <v>0.3105</v>
      </c>
    </row>
    <row r="41" spans="1:9" s="10" customFormat="1" x14ac:dyDescent="0.2">
      <c r="A41" s="9" t="s">
        <v>80</v>
      </c>
      <c r="B41" s="9">
        <v>0.2092</v>
      </c>
      <c r="C41" s="5">
        <v>0.111</v>
      </c>
      <c r="D41" s="5">
        <v>1.09E-2</v>
      </c>
      <c r="E41" s="5"/>
      <c r="I41" s="10">
        <f t="shared" si="0"/>
        <v>0.33110000000000001</v>
      </c>
    </row>
  </sheetData>
  <conditionalFormatting sqref="A1:A1048576">
    <cfRule type="duplicateValues" dxfId="8" priority="6"/>
  </conditionalFormatting>
  <conditionalFormatting sqref="G9:G11">
    <cfRule type="duplicateValues" dxfId="7" priority="8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F89DEA-332A-0547-AB66-3D3A7F8E8016}">
  <dimension ref="A1:B41"/>
  <sheetViews>
    <sheetView workbookViewId="0">
      <selection activeCell="D38" sqref="D38"/>
    </sheetView>
  </sheetViews>
  <sheetFormatPr baseColWidth="10" defaultRowHeight="16" x14ac:dyDescent="0.2"/>
  <cols>
    <col min="1" max="1" width="14.5" style="2" customWidth="1"/>
    <col min="2" max="2" width="17.1640625" style="2" customWidth="1"/>
  </cols>
  <sheetData>
    <row r="1" spans="1:2" x14ac:dyDescent="0.2">
      <c r="A1" s="2" t="s">
        <v>0</v>
      </c>
      <c r="B1" s="2" t="s">
        <v>81</v>
      </c>
    </row>
    <row r="2" spans="1:2" x14ac:dyDescent="0.2">
      <c r="A2" s="3" t="s">
        <v>42</v>
      </c>
      <c r="B2" s="3">
        <v>0.1953</v>
      </c>
    </row>
    <row r="3" spans="1:2" x14ac:dyDescent="0.2">
      <c r="A3" s="3" t="s">
        <v>43</v>
      </c>
      <c r="B3" s="3">
        <v>0.20150000000000001</v>
      </c>
    </row>
    <row r="4" spans="1:2" x14ac:dyDescent="0.2">
      <c r="A4" s="3" t="s">
        <v>44</v>
      </c>
      <c r="B4" s="3">
        <v>0.20830000000000001</v>
      </c>
    </row>
    <row r="5" spans="1:2" x14ac:dyDescent="0.2">
      <c r="A5" s="3" t="s">
        <v>45</v>
      </c>
      <c r="B5" s="3">
        <v>0.20219999999999999</v>
      </c>
    </row>
    <row r="6" spans="1:2" x14ac:dyDescent="0.2">
      <c r="A6" s="3" t="s">
        <v>46</v>
      </c>
      <c r="B6" s="3">
        <v>0.2039</v>
      </c>
    </row>
    <row r="7" spans="1:2" x14ac:dyDescent="0.2">
      <c r="A7" s="3" t="s">
        <v>1</v>
      </c>
      <c r="B7" s="3">
        <v>0.1905</v>
      </c>
    </row>
    <row r="8" spans="1:2" x14ac:dyDescent="0.2">
      <c r="A8" s="3" t="s">
        <v>62</v>
      </c>
      <c r="B8" s="3">
        <v>0.19539999999999999</v>
      </c>
    </row>
    <row r="9" spans="1:2" x14ac:dyDescent="0.2">
      <c r="A9" s="3" t="s">
        <v>63</v>
      </c>
      <c r="B9" s="3">
        <v>0.1918</v>
      </c>
    </row>
    <row r="10" spans="1:2" x14ac:dyDescent="0.2">
      <c r="A10" s="3" t="s">
        <v>64</v>
      </c>
      <c r="B10" s="3">
        <v>0.1903</v>
      </c>
    </row>
    <row r="11" spans="1:2" x14ac:dyDescent="0.2">
      <c r="A11" s="3" t="s">
        <v>65</v>
      </c>
      <c r="B11" s="3">
        <v>0.19259999999999999</v>
      </c>
    </row>
    <row r="12" spans="1:2" x14ac:dyDescent="0.2">
      <c r="A12" s="3" t="s">
        <v>47</v>
      </c>
      <c r="B12" s="3">
        <v>0.20030000000000001</v>
      </c>
    </row>
    <row r="13" spans="1:2" x14ac:dyDescent="0.2">
      <c r="A13" s="3" t="s">
        <v>48</v>
      </c>
      <c r="B13" s="3">
        <v>0.2001</v>
      </c>
    </row>
    <row r="14" spans="1:2" x14ac:dyDescent="0.2">
      <c r="A14" s="3" t="s">
        <v>49</v>
      </c>
      <c r="B14" s="3">
        <v>0.2021</v>
      </c>
    </row>
    <row r="15" spans="1:2" x14ac:dyDescent="0.2">
      <c r="A15" s="3" t="s">
        <v>50</v>
      </c>
      <c r="B15" s="3">
        <v>0.1953</v>
      </c>
    </row>
    <row r="16" spans="1:2" x14ac:dyDescent="0.2">
      <c r="A16" s="3" t="s">
        <v>51</v>
      </c>
      <c r="B16" s="3">
        <v>0.1946</v>
      </c>
    </row>
    <row r="17" spans="1:2" x14ac:dyDescent="0.2">
      <c r="A17" s="3" t="s">
        <v>66</v>
      </c>
      <c r="B17" s="3">
        <v>0.19689999999999999</v>
      </c>
    </row>
    <row r="18" spans="1:2" x14ac:dyDescent="0.2">
      <c r="A18" s="3" t="s">
        <v>67</v>
      </c>
      <c r="B18" s="3">
        <v>0.2</v>
      </c>
    </row>
    <row r="19" spans="1:2" x14ac:dyDescent="0.2">
      <c r="A19" s="3" t="s">
        <v>68</v>
      </c>
      <c r="B19" s="3">
        <v>0.19719999999999999</v>
      </c>
    </row>
    <row r="20" spans="1:2" x14ac:dyDescent="0.2">
      <c r="A20" s="3" t="s">
        <v>69</v>
      </c>
      <c r="B20" s="3">
        <v>0.1991</v>
      </c>
    </row>
    <row r="21" spans="1:2" x14ac:dyDescent="0.2">
      <c r="A21" s="3" t="s">
        <v>70</v>
      </c>
      <c r="B21" s="3">
        <v>0.1913</v>
      </c>
    </row>
    <row r="22" spans="1:2" x14ac:dyDescent="0.2">
      <c r="A22" s="3" t="s">
        <v>52</v>
      </c>
      <c r="B22" s="3">
        <v>0.21049999999999999</v>
      </c>
    </row>
    <row r="23" spans="1:2" x14ac:dyDescent="0.2">
      <c r="A23" s="3" t="s">
        <v>53</v>
      </c>
      <c r="B23" s="3">
        <v>0.20330000000000001</v>
      </c>
    </row>
    <row r="24" spans="1:2" x14ac:dyDescent="0.2">
      <c r="A24" s="3" t="s">
        <v>54</v>
      </c>
      <c r="B24" s="3">
        <v>0.20430000000000001</v>
      </c>
    </row>
    <row r="25" spans="1:2" x14ac:dyDescent="0.2">
      <c r="A25" s="3" t="s">
        <v>55</v>
      </c>
      <c r="B25" s="3">
        <v>0.19700000000000001</v>
      </c>
    </row>
    <row r="26" spans="1:2" x14ac:dyDescent="0.2">
      <c r="A26" s="3" t="s">
        <v>56</v>
      </c>
      <c r="B26" s="3">
        <v>0.19869999999999999</v>
      </c>
    </row>
    <row r="27" spans="1:2" x14ac:dyDescent="0.2">
      <c r="A27" s="3" t="s">
        <v>71</v>
      </c>
      <c r="B27" s="3">
        <v>0.19309999999999999</v>
      </c>
    </row>
    <row r="28" spans="1:2" x14ac:dyDescent="0.2">
      <c r="A28" s="3" t="s">
        <v>72</v>
      </c>
      <c r="B28" s="3">
        <v>0.18809999999999999</v>
      </c>
    </row>
    <row r="29" spans="1:2" x14ac:dyDescent="0.2">
      <c r="A29" s="3" t="s">
        <v>73</v>
      </c>
      <c r="B29" s="3">
        <v>0.19070000000000001</v>
      </c>
    </row>
    <row r="30" spans="1:2" x14ac:dyDescent="0.2">
      <c r="A30" s="3" t="s">
        <v>74</v>
      </c>
      <c r="B30" s="3">
        <v>0.191</v>
      </c>
    </row>
    <row r="31" spans="1:2" x14ac:dyDescent="0.2">
      <c r="A31" s="3" t="s">
        <v>75</v>
      </c>
      <c r="B31" s="3">
        <v>0.1951</v>
      </c>
    </row>
    <row r="32" spans="1:2" x14ac:dyDescent="0.2">
      <c r="A32" s="3" t="s">
        <v>57</v>
      </c>
      <c r="B32" s="3">
        <v>0.20100000000000001</v>
      </c>
    </row>
    <row r="33" spans="1:2" x14ac:dyDescent="0.2">
      <c r="A33" s="3" t="s">
        <v>58</v>
      </c>
      <c r="B33" s="3">
        <v>0.1976</v>
      </c>
    </row>
    <row r="34" spans="1:2" x14ac:dyDescent="0.2">
      <c r="A34" s="3" t="s">
        <v>59</v>
      </c>
      <c r="B34" s="3">
        <v>0.20030000000000001</v>
      </c>
    </row>
    <row r="35" spans="1:2" x14ac:dyDescent="0.2">
      <c r="A35" s="3" t="s">
        <v>60</v>
      </c>
      <c r="B35" s="3">
        <v>0.19739999999999999</v>
      </c>
    </row>
    <row r="36" spans="1:2" x14ac:dyDescent="0.2">
      <c r="A36" s="3" t="s">
        <v>61</v>
      </c>
      <c r="B36" s="3">
        <v>0.20780000000000001</v>
      </c>
    </row>
    <row r="37" spans="1:2" x14ac:dyDescent="0.2">
      <c r="A37" s="3" t="s">
        <v>76</v>
      </c>
      <c r="B37" s="3">
        <v>0.19040000000000001</v>
      </c>
    </row>
    <row r="38" spans="1:2" x14ac:dyDescent="0.2">
      <c r="A38" s="3" t="s">
        <v>77</v>
      </c>
      <c r="B38" s="3">
        <v>0.1951</v>
      </c>
    </row>
    <row r="39" spans="1:2" x14ac:dyDescent="0.2">
      <c r="A39" s="3" t="s">
        <v>78</v>
      </c>
      <c r="B39" s="3">
        <v>0.1898</v>
      </c>
    </row>
    <row r="40" spans="1:2" x14ac:dyDescent="0.2">
      <c r="A40" s="3" t="s">
        <v>79</v>
      </c>
      <c r="B40" s="3">
        <v>0.19839999999999999</v>
      </c>
    </row>
    <row r="41" spans="1:2" x14ac:dyDescent="0.2">
      <c r="A41" s="3" t="s">
        <v>80</v>
      </c>
      <c r="B41" s="3">
        <v>0.2092</v>
      </c>
    </row>
  </sheetData>
  <sortState xmlns:xlrd2="http://schemas.microsoft.com/office/spreadsheetml/2017/richdata2" ref="A2:B43">
    <sortCondition ref="A1:A43"/>
  </sortState>
  <conditionalFormatting sqref="A1:A1048576">
    <cfRule type="duplicateValues" dxfId="6" priority="2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5E9576-97D0-AD4D-B274-4B71189152E3}">
  <dimension ref="A1:B41"/>
  <sheetViews>
    <sheetView workbookViewId="0">
      <selection activeCell="C36" sqref="C36"/>
    </sheetView>
  </sheetViews>
  <sheetFormatPr baseColWidth="10" defaultRowHeight="16" x14ac:dyDescent="0.2"/>
  <cols>
    <col min="1" max="1" width="14" style="2" customWidth="1"/>
    <col min="2" max="2" width="15.5" style="2" customWidth="1"/>
  </cols>
  <sheetData>
    <row r="1" spans="1:2" x14ac:dyDescent="0.2">
      <c r="A1" s="2" t="s">
        <v>0</v>
      </c>
      <c r="B1" s="2" t="s">
        <v>41</v>
      </c>
    </row>
    <row r="2" spans="1:2" x14ac:dyDescent="0.2">
      <c r="A2" s="2" t="s">
        <v>21</v>
      </c>
      <c r="B2" s="2">
        <v>4.0599999999999997E-2</v>
      </c>
    </row>
    <row r="3" spans="1:2" x14ac:dyDescent="0.2">
      <c r="A3" s="2" t="s">
        <v>22</v>
      </c>
      <c r="B3" s="2">
        <v>4.1399999999999999E-2</v>
      </c>
    </row>
    <row r="4" spans="1:2" x14ac:dyDescent="0.2">
      <c r="A4" s="2" t="s">
        <v>23</v>
      </c>
      <c r="B4" s="2">
        <v>4.1700000000000001E-2</v>
      </c>
    </row>
    <row r="5" spans="1:2" x14ac:dyDescent="0.2">
      <c r="A5" s="2" t="s">
        <v>2</v>
      </c>
      <c r="B5" s="2">
        <v>1.18E-2</v>
      </c>
    </row>
    <row r="6" spans="1:2" x14ac:dyDescent="0.2">
      <c r="A6" s="2" t="s">
        <v>3</v>
      </c>
      <c r="B6" s="2">
        <v>1.17E-2</v>
      </c>
    </row>
    <row r="7" spans="1:2" x14ac:dyDescent="0.2">
      <c r="A7" s="2" t="s">
        <v>5</v>
      </c>
      <c r="B7" s="2">
        <v>1.12E-2</v>
      </c>
    </row>
    <row r="8" spans="1:2" x14ac:dyDescent="0.2">
      <c r="A8" s="2" t="s">
        <v>24</v>
      </c>
      <c r="B8" s="2">
        <v>3.9899999999999998E-2</v>
      </c>
    </row>
    <row r="9" spans="1:2" x14ac:dyDescent="0.2">
      <c r="A9" s="2" t="s">
        <v>25</v>
      </c>
      <c r="B9" s="2">
        <v>3.9800000000000002E-2</v>
      </c>
    </row>
    <row r="10" spans="1:2" x14ac:dyDescent="0.2">
      <c r="A10" s="2" t="s">
        <v>4</v>
      </c>
      <c r="B10" s="2">
        <v>1.1299999999999999E-2</v>
      </c>
    </row>
    <row r="11" spans="1:2" x14ac:dyDescent="0.2">
      <c r="A11" s="2" t="s">
        <v>1</v>
      </c>
      <c r="B11" s="2">
        <v>1.03E-2</v>
      </c>
    </row>
    <row r="12" spans="1:2" x14ac:dyDescent="0.2">
      <c r="A12" s="2" t="s">
        <v>27</v>
      </c>
      <c r="B12" s="4">
        <v>4.1000000000000002E-2</v>
      </c>
    </row>
    <row r="13" spans="1:2" x14ac:dyDescent="0.2">
      <c r="A13" s="2" t="s">
        <v>28</v>
      </c>
      <c r="B13" s="2">
        <v>4.07E-2</v>
      </c>
    </row>
    <row r="14" spans="1:2" x14ac:dyDescent="0.2">
      <c r="A14" s="2" t="s">
        <v>30</v>
      </c>
      <c r="B14" s="4">
        <v>0.04</v>
      </c>
    </row>
    <row r="15" spans="1:2" x14ac:dyDescent="0.2">
      <c r="A15" s="2" t="s">
        <v>6</v>
      </c>
      <c r="B15" s="2">
        <v>1.11E-2</v>
      </c>
    </row>
    <row r="16" spans="1:2" x14ac:dyDescent="0.2">
      <c r="A16" s="2" t="s">
        <v>7</v>
      </c>
      <c r="B16" s="2">
        <v>1.1599999999999999E-2</v>
      </c>
    </row>
    <row r="17" spans="1:2" x14ac:dyDescent="0.2">
      <c r="A17" s="2" t="s">
        <v>8</v>
      </c>
      <c r="B17" s="2">
        <v>1.0800000000000001E-2</v>
      </c>
    </row>
    <row r="18" spans="1:2" x14ac:dyDescent="0.2">
      <c r="A18" s="2" t="s">
        <v>9</v>
      </c>
      <c r="B18" s="2">
        <v>1.14E-2</v>
      </c>
    </row>
    <row r="19" spans="1:2" x14ac:dyDescent="0.2">
      <c r="A19" s="2" t="s">
        <v>10</v>
      </c>
      <c r="B19" s="2">
        <v>1.12E-2</v>
      </c>
    </row>
    <row r="20" spans="1:2" x14ac:dyDescent="0.2">
      <c r="A20" s="2" t="s">
        <v>26</v>
      </c>
      <c r="B20" s="2">
        <v>4.1700000000000001E-2</v>
      </c>
    </row>
    <row r="21" spans="1:2" x14ac:dyDescent="0.2">
      <c r="A21" s="2" t="s">
        <v>29</v>
      </c>
      <c r="B21" s="2">
        <v>3.9600000000000003E-2</v>
      </c>
    </row>
    <row r="22" spans="1:2" x14ac:dyDescent="0.2">
      <c r="A22" s="2" t="s">
        <v>35</v>
      </c>
      <c r="B22" s="2">
        <v>4.1799999999999997E-2</v>
      </c>
    </row>
    <row r="23" spans="1:2" x14ac:dyDescent="0.2">
      <c r="A23" s="2" t="s">
        <v>11</v>
      </c>
      <c r="B23" s="2">
        <v>1.11E-2</v>
      </c>
    </row>
    <row r="24" spans="1:2" x14ac:dyDescent="0.2">
      <c r="A24" s="2" t="s">
        <v>12</v>
      </c>
      <c r="B24" s="2">
        <v>1.1299999999999999E-2</v>
      </c>
    </row>
    <row r="25" spans="1:2" x14ac:dyDescent="0.2">
      <c r="A25" s="2" t="s">
        <v>14</v>
      </c>
      <c r="B25" s="2">
        <v>1.0500000000000001E-2</v>
      </c>
    </row>
    <row r="26" spans="1:2" x14ac:dyDescent="0.2">
      <c r="A26" s="2" t="s">
        <v>31</v>
      </c>
      <c r="B26" s="2">
        <v>4.07E-2</v>
      </c>
    </row>
    <row r="27" spans="1:2" x14ac:dyDescent="0.2">
      <c r="A27" s="2" t="s">
        <v>32</v>
      </c>
      <c r="B27" s="4">
        <v>4.1000000000000002E-2</v>
      </c>
    </row>
    <row r="28" spans="1:2" x14ac:dyDescent="0.2">
      <c r="A28" s="2" t="s">
        <v>33</v>
      </c>
      <c r="B28" s="2">
        <v>4.0800000000000003E-2</v>
      </c>
    </row>
    <row r="29" spans="1:2" x14ac:dyDescent="0.2">
      <c r="A29" s="2" t="s">
        <v>34</v>
      </c>
      <c r="B29" s="2">
        <v>4.0300000000000002E-2</v>
      </c>
    </row>
    <row r="30" spans="1:2" x14ac:dyDescent="0.2">
      <c r="A30" s="2" t="s">
        <v>13</v>
      </c>
      <c r="B30" s="2">
        <v>1.14E-2</v>
      </c>
    </row>
    <row r="31" spans="1:2" x14ac:dyDescent="0.2">
      <c r="A31" s="2" t="s">
        <v>15</v>
      </c>
      <c r="B31" s="2">
        <v>1.12E-2</v>
      </c>
    </row>
    <row r="32" spans="1:2" x14ac:dyDescent="0.2">
      <c r="A32" s="2" t="s">
        <v>36</v>
      </c>
      <c r="B32" s="2">
        <v>4.1700000000000001E-2</v>
      </c>
    </row>
    <row r="33" spans="1:2" x14ac:dyDescent="0.2">
      <c r="A33" s="2" t="s">
        <v>38</v>
      </c>
      <c r="B33" s="2">
        <v>4.0500000000000001E-2</v>
      </c>
    </row>
    <row r="34" spans="1:2" x14ac:dyDescent="0.2">
      <c r="A34" s="2" t="s">
        <v>39</v>
      </c>
      <c r="B34" s="2">
        <v>4.0500000000000001E-2</v>
      </c>
    </row>
    <row r="35" spans="1:2" x14ac:dyDescent="0.2">
      <c r="A35" s="2" t="s">
        <v>40</v>
      </c>
      <c r="B35" s="2">
        <v>4.0800000000000003E-2</v>
      </c>
    </row>
    <row r="36" spans="1:2" x14ac:dyDescent="0.2">
      <c r="A36" s="2" t="s">
        <v>17</v>
      </c>
      <c r="B36" s="2">
        <v>1.1599999999999999E-2</v>
      </c>
    </row>
    <row r="37" spans="1:2" x14ac:dyDescent="0.2">
      <c r="A37" s="2" t="s">
        <v>19</v>
      </c>
      <c r="B37" s="2">
        <v>1.1299999999999999E-2</v>
      </c>
    </row>
    <row r="38" spans="1:2" x14ac:dyDescent="0.2">
      <c r="A38" s="2" t="s">
        <v>37</v>
      </c>
      <c r="B38" s="2">
        <v>4.19E-2</v>
      </c>
    </row>
    <row r="39" spans="1:2" x14ac:dyDescent="0.2">
      <c r="A39" s="2" t="s">
        <v>16</v>
      </c>
      <c r="B39" s="2">
        <v>1.09E-2</v>
      </c>
    </row>
    <row r="40" spans="1:2" x14ac:dyDescent="0.2">
      <c r="A40" s="2" t="s">
        <v>18</v>
      </c>
      <c r="B40" s="2">
        <v>1.15E-2</v>
      </c>
    </row>
    <row r="41" spans="1:2" x14ac:dyDescent="0.2">
      <c r="A41" s="2" t="s">
        <v>20</v>
      </c>
      <c r="B41" s="2">
        <v>1.09E-2</v>
      </c>
    </row>
  </sheetData>
  <sortState xmlns:xlrd2="http://schemas.microsoft.com/office/spreadsheetml/2017/richdata2" ref="A2:B42">
    <sortCondition ref="A1:A42"/>
  </sortState>
  <conditionalFormatting sqref="A1:A1048576">
    <cfRule type="duplicateValues" dxfId="5" priority="1"/>
    <cfRule type="duplicateValues" dxfId="4" priority="2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FE81F3-22AD-6141-8B81-76124617E3DD}">
  <dimension ref="A1:B5"/>
  <sheetViews>
    <sheetView workbookViewId="0">
      <selection activeCell="G36" sqref="G36"/>
    </sheetView>
  </sheetViews>
  <sheetFormatPr baseColWidth="10" defaultRowHeight="16" x14ac:dyDescent="0.2"/>
  <cols>
    <col min="1" max="1" width="10.83203125" style="2"/>
    <col min="2" max="2" width="13" style="2" customWidth="1"/>
  </cols>
  <sheetData>
    <row r="1" spans="1:2" x14ac:dyDescent="0.2">
      <c r="A1" s="2" t="s">
        <v>0</v>
      </c>
      <c r="B1" s="2" t="s">
        <v>41</v>
      </c>
    </row>
    <row r="2" spans="1:2" x14ac:dyDescent="0.2">
      <c r="A2" s="2" t="s">
        <v>51</v>
      </c>
      <c r="B2" s="2">
        <v>4.2200000000000001E-2</v>
      </c>
    </row>
    <row r="3" spans="1:2" x14ac:dyDescent="0.2">
      <c r="A3" s="2" t="s">
        <v>54</v>
      </c>
      <c r="B3" s="2">
        <v>4.0899999999999999E-2</v>
      </c>
    </row>
    <row r="4" spans="1:2" x14ac:dyDescent="0.2">
      <c r="A4" s="2" t="s">
        <v>60</v>
      </c>
      <c r="B4" s="2">
        <v>4.0399999999999998E-2</v>
      </c>
    </row>
    <row r="5" spans="1:2" x14ac:dyDescent="0.2">
      <c r="A5" s="2" t="s">
        <v>61</v>
      </c>
      <c r="B5" s="2">
        <v>3.9899999999999998E-2</v>
      </c>
    </row>
  </sheetData>
  <sortState xmlns:xlrd2="http://schemas.microsoft.com/office/spreadsheetml/2017/richdata2" ref="A2:B5">
    <sortCondition ref="A1:A5"/>
  </sortState>
  <conditionalFormatting sqref="A1:A1048576">
    <cfRule type="duplicateValues" dxfId="3" priority="1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569F96-4E13-124A-ADF6-E92AA0F990FA}">
  <dimension ref="A1:B21"/>
  <sheetViews>
    <sheetView workbookViewId="0">
      <selection activeCell="F36" sqref="F36"/>
    </sheetView>
  </sheetViews>
  <sheetFormatPr baseColWidth="10" defaultRowHeight="16" x14ac:dyDescent="0.2"/>
  <cols>
    <col min="1" max="1" width="10.83203125" style="2"/>
    <col min="2" max="2" width="19.5" style="2" customWidth="1"/>
  </cols>
  <sheetData>
    <row r="1" spans="1:2" x14ac:dyDescent="0.2">
      <c r="A1" s="2" t="s">
        <v>0</v>
      </c>
      <c r="B1" s="2" t="s">
        <v>41</v>
      </c>
    </row>
    <row r="2" spans="1:2" x14ac:dyDescent="0.2">
      <c r="A2" s="5" t="s">
        <v>42</v>
      </c>
      <c r="B2" s="6">
        <v>0.20300000000000001</v>
      </c>
    </row>
    <row r="3" spans="1:2" x14ac:dyDescent="0.2">
      <c r="A3" s="5" t="s">
        <v>43</v>
      </c>
      <c r="B3" s="5">
        <v>0.2009</v>
      </c>
    </row>
    <row r="4" spans="1:2" x14ac:dyDescent="0.2">
      <c r="A4" s="5" t="s">
        <v>44</v>
      </c>
      <c r="B4" s="6">
        <v>0.2006</v>
      </c>
    </row>
    <row r="5" spans="1:2" x14ac:dyDescent="0.2">
      <c r="A5" s="5" t="s">
        <v>45</v>
      </c>
      <c r="B5" s="5">
        <v>0.2006</v>
      </c>
    </row>
    <row r="6" spans="1:2" x14ac:dyDescent="0.2">
      <c r="A6" s="5" t="s">
        <v>46</v>
      </c>
      <c r="B6" s="6">
        <v>0.20069999999999999</v>
      </c>
    </row>
    <row r="7" spans="1:2" x14ac:dyDescent="0.2">
      <c r="A7" s="2" t="s">
        <v>47</v>
      </c>
      <c r="B7" s="2">
        <v>0.2001</v>
      </c>
    </row>
    <row r="8" spans="1:2" x14ac:dyDescent="0.2">
      <c r="A8" s="2" t="s">
        <v>48</v>
      </c>
      <c r="B8" s="4">
        <v>0.20130000000000001</v>
      </c>
    </row>
    <row r="9" spans="1:2" x14ac:dyDescent="0.2">
      <c r="A9" s="2" t="s">
        <v>49</v>
      </c>
      <c r="B9" s="4">
        <v>0.2006</v>
      </c>
    </row>
    <row r="10" spans="1:2" x14ac:dyDescent="0.2">
      <c r="A10" s="2" t="s">
        <v>50</v>
      </c>
      <c r="B10" s="4">
        <v>0.2019</v>
      </c>
    </row>
    <row r="11" spans="1:2" x14ac:dyDescent="0.2">
      <c r="A11" s="2" t="s">
        <v>51</v>
      </c>
      <c r="B11" s="4">
        <v>0.2011</v>
      </c>
    </row>
    <row r="12" spans="1:2" x14ac:dyDescent="0.2">
      <c r="A12" s="2" t="s">
        <v>52</v>
      </c>
      <c r="B12" s="4">
        <v>0.20069999999999999</v>
      </c>
    </row>
    <row r="13" spans="1:2" x14ac:dyDescent="0.2">
      <c r="A13" s="2" t="s">
        <v>53</v>
      </c>
      <c r="B13" s="4">
        <v>0.20100000000000001</v>
      </c>
    </row>
    <row r="14" spans="1:2" x14ac:dyDescent="0.2">
      <c r="A14" s="2" t="s">
        <v>54</v>
      </c>
      <c r="B14" s="4">
        <v>0.20100000000000001</v>
      </c>
    </row>
    <row r="15" spans="1:2" x14ac:dyDescent="0.2">
      <c r="A15" s="2" t="s">
        <v>55</v>
      </c>
      <c r="B15" s="4">
        <v>0.20130000000000001</v>
      </c>
    </row>
    <row r="16" spans="1:2" x14ac:dyDescent="0.2">
      <c r="A16" s="2" t="s">
        <v>56</v>
      </c>
      <c r="B16" s="4">
        <v>0.20019999999999999</v>
      </c>
    </row>
    <row r="17" spans="1:2" x14ac:dyDescent="0.2">
      <c r="A17" s="5" t="s">
        <v>57</v>
      </c>
      <c r="B17" s="6">
        <v>0.20069999999999999</v>
      </c>
    </row>
    <row r="18" spans="1:2" x14ac:dyDescent="0.2">
      <c r="A18" s="5" t="s">
        <v>58</v>
      </c>
      <c r="B18" s="6">
        <v>0.2</v>
      </c>
    </row>
    <row r="19" spans="1:2" x14ac:dyDescent="0.2">
      <c r="A19" s="5" t="s">
        <v>59</v>
      </c>
      <c r="B19" s="6">
        <v>0.20080000000000001</v>
      </c>
    </row>
    <row r="20" spans="1:2" x14ac:dyDescent="0.2">
      <c r="A20" s="5" t="s">
        <v>60</v>
      </c>
      <c r="B20" s="6">
        <v>0.2006</v>
      </c>
    </row>
    <row r="21" spans="1:2" x14ac:dyDescent="0.2">
      <c r="A21" s="5" t="s">
        <v>61</v>
      </c>
      <c r="B21" s="6">
        <v>0.2009</v>
      </c>
    </row>
  </sheetData>
  <sortState xmlns:xlrd2="http://schemas.microsoft.com/office/spreadsheetml/2017/richdata2" ref="A2:B21">
    <sortCondition ref="A1:A21"/>
  </sortState>
  <conditionalFormatting sqref="A1:A1048576">
    <cfRule type="duplicateValues" dxfId="2" priority="1"/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83BF6F-406F-5441-87F7-8EEDE5A594B3}">
  <dimension ref="A1:B22"/>
  <sheetViews>
    <sheetView workbookViewId="0">
      <selection activeCell="G34" sqref="G34"/>
    </sheetView>
  </sheetViews>
  <sheetFormatPr baseColWidth="10" defaultRowHeight="16" x14ac:dyDescent="0.2"/>
  <cols>
    <col min="1" max="1" width="10.83203125" style="2"/>
    <col min="2" max="2" width="19.5" style="2" customWidth="1"/>
  </cols>
  <sheetData>
    <row r="1" spans="1:2" x14ac:dyDescent="0.2">
      <c r="A1" s="2" t="s">
        <v>0</v>
      </c>
      <c r="B1" s="2" t="s">
        <v>41</v>
      </c>
    </row>
    <row r="2" spans="1:2" x14ac:dyDescent="0.2">
      <c r="A2" s="2" t="s">
        <v>42</v>
      </c>
      <c r="B2" s="4">
        <v>0.2</v>
      </c>
    </row>
    <row r="3" spans="1:2" x14ac:dyDescent="0.2">
      <c r="A3" s="2" t="s">
        <v>43</v>
      </c>
      <c r="B3" s="2">
        <v>0.20280000000000001</v>
      </c>
    </row>
    <row r="4" spans="1:2" x14ac:dyDescent="0.2">
      <c r="A4" s="2" t="s">
        <v>43</v>
      </c>
      <c r="B4" s="4">
        <v>0.2006</v>
      </c>
    </row>
    <row r="5" spans="1:2" x14ac:dyDescent="0.2">
      <c r="A5" s="2" t="s">
        <v>44</v>
      </c>
      <c r="B5" s="4">
        <v>0.20799999999999999</v>
      </c>
    </row>
    <row r="6" spans="1:2" x14ac:dyDescent="0.2">
      <c r="A6" s="2" t="s">
        <v>45</v>
      </c>
      <c r="B6" s="2">
        <v>0.20280000000000001</v>
      </c>
    </row>
    <row r="7" spans="1:2" x14ac:dyDescent="0.2">
      <c r="A7" s="2" t="s">
        <v>46</v>
      </c>
      <c r="B7" s="4">
        <v>0.20130000000000001</v>
      </c>
    </row>
    <row r="8" spans="1:2" x14ac:dyDescent="0.2">
      <c r="A8" s="2" t="s">
        <v>47</v>
      </c>
      <c r="B8" s="2">
        <v>0.20130000000000001</v>
      </c>
    </row>
    <row r="9" spans="1:2" x14ac:dyDescent="0.2">
      <c r="A9" s="2" t="s">
        <v>48</v>
      </c>
      <c r="B9" s="4">
        <v>0.20269999999999999</v>
      </c>
    </row>
    <row r="10" spans="1:2" x14ac:dyDescent="0.2">
      <c r="A10" s="2" t="s">
        <v>49</v>
      </c>
      <c r="B10" s="4">
        <v>0.20100000000000001</v>
      </c>
    </row>
    <row r="11" spans="1:2" x14ac:dyDescent="0.2">
      <c r="A11" s="2" t="s">
        <v>50</v>
      </c>
      <c r="B11" s="4">
        <v>0.2074</v>
      </c>
    </row>
    <row r="12" spans="1:2" x14ac:dyDescent="0.2">
      <c r="A12" s="2" t="s">
        <v>51</v>
      </c>
      <c r="B12" s="4">
        <v>0.20100000000000001</v>
      </c>
    </row>
    <row r="13" spans="1:2" x14ac:dyDescent="0.2">
      <c r="A13" s="2" t="s">
        <v>52</v>
      </c>
      <c r="B13" s="4">
        <v>0.2</v>
      </c>
    </row>
    <row r="14" spans="1:2" x14ac:dyDescent="0.2">
      <c r="A14" s="2" t="s">
        <v>53</v>
      </c>
      <c r="B14" s="4">
        <v>0.2046</v>
      </c>
    </row>
    <row r="15" spans="1:2" x14ac:dyDescent="0.2">
      <c r="A15" s="2" t="s">
        <v>54</v>
      </c>
      <c r="B15" s="4">
        <v>0.20380000000000001</v>
      </c>
    </row>
    <row r="16" spans="1:2" x14ac:dyDescent="0.2">
      <c r="A16" s="2" t="s">
        <v>55</v>
      </c>
      <c r="B16" s="4">
        <v>0.20050000000000001</v>
      </c>
    </row>
    <row r="17" spans="1:2" x14ac:dyDescent="0.2">
      <c r="A17" s="2" t="s">
        <v>56</v>
      </c>
      <c r="B17" s="2">
        <v>0.20230000000000001</v>
      </c>
    </row>
    <row r="18" spans="1:2" x14ac:dyDescent="0.2">
      <c r="A18" s="2" t="s">
        <v>57</v>
      </c>
      <c r="B18" s="4">
        <v>0.2011</v>
      </c>
    </row>
    <row r="19" spans="1:2" x14ac:dyDescent="0.2">
      <c r="A19" s="2" t="s">
        <v>58</v>
      </c>
      <c r="B19" s="4">
        <v>0.20419999999999999</v>
      </c>
    </row>
    <row r="20" spans="1:2" x14ac:dyDescent="0.2">
      <c r="A20" s="2" t="s">
        <v>59</v>
      </c>
      <c r="B20" s="4">
        <v>0.20269999999999999</v>
      </c>
    </row>
    <row r="21" spans="1:2" x14ac:dyDescent="0.2">
      <c r="A21" s="2" t="s">
        <v>60</v>
      </c>
      <c r="B21" s="4">
        <v>0.20219999999999999</v>
      </c>
    </row>
    <row r="22" spans="1:2" x14ac:dyDescent="0.2">
      <c r="A22" s="2" t="s">
        <v>61</v>
      </c>
      <c r="B22" s="4">
        <v>0.20030000000000001</v>
      </c>
    </row>
  </sheetData>
  <sortState xmlns:xlrd2="http://schemas.microsoft.com/office/spreadsheetml/2017/richdata2" ref="A2:B22">
    <sortCondition ref="A1:A22"/>
  </sortState>
  <conditionalFormatting sqref="A1:A1048576">
    <cfRule type="duplicateValues" dxfId="1" priority="1"/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58B418-A29C-7E45-B671-CBD1A596E513}">
  <dimension ref="A1:B41"/>
  <sheetViews>
    <sheetView topLeftCell="A21" zoomScale="133" workbookViewId="0">
      <selection activeCell="F30" sqref="F30"/>
    </sheetView>
  </sheetViews>
  <sheetFormatPr baseColWidth="10" defaultRowHeight="16" x14ac:dyDescent="0.2"/>
  <cols>
    <col min="1" max="1" width="16.6640625" style="2" customWidth="1"/>
    <col min="2" max="2" width="17.6640625" style="2" customWidth="1"/>
  </cols>
  <sheetData>
    <row r="1" spans="1:2" x14ac:dyDescent="0.2">
      <c r="A1" s="3" t="s">
        <v>0</v>
      </c>
      <c r="B1" s="2" t="s">
        <v>41</v>
      </c>
    </row>
    <row r="2" spans="1:2" x14ac:dyDescent="0.2">
      <c r="A2" s="7" t="s">
        <v>42</v>
      </c>
      <c r="B2" s="8">
        <v>1.2318</v>
      </c>
    </row>
    <row r="3" spans="1:2" x14ac:dyDescent="0.2">
      <c r="A3" s="7" t="s">
        <v>43</v>
      </c>
      <c r="B3" s="8">
        <v>1.2735000000000001</v>
      </c>
    </row>
    <row r="4" spans="1:2" x14ac:dyDescent="0.2">
      <c r="A4" s="7" t="s">
        <v>44</v>
      </c>
      <c r="B4" s="8">
        <v>1.242</v>
      </c>
    </row>
    <row r="5" spans="1:2" x14ac:dyDescent="0.2">
      <c r="A5" s="7" t="s">
        <v>45</v>
      </c>
      <c r="B5" s="8">
        <v>1.7332000000000001</v>
      </c>
    </row>
    <row r="6" spans="1:2" x14ac:dyDescent="0.2">
      <c r="A6" s="7" t="s">
        <v>46</v>
      </c>
      <c r="B6" s="8">
        <v>1.5331999999999999</v>
      </c>
    </row>
    <row r="7" spans="1:2" x14ac:dyDescent="0.2">
      <c r="A7" s="3" t="s">
        <v>1</v>
      </c>
      <c r="B7" s="2">
        <v>0.11799999999999999</v>
      </c>
    </row>
    <row r="8" spans="1:2" x14ac:dyDescent="0.2">
      <c r="A8" s="3" t="s">
        <v>62</v>
      </c>
      <c r="B8" s="2">
        <v>9.8100000000000007E-2</v>
      </c>
    </row>
    <row r="9" spans="1:2" x14ac:dyDescent="0.2">
      <c r="A9" s="3" t="s">
        <v>63</v>
      </c>
      <c r="B9" s="2">
        <v>0.1346</v>
      </c>
    </row>
    <row r="10" spans="1:2" x14ac:dyDescent="0.2">
      <c r="A10" s="3" t="s">
        <v>64</v>
      </c>
      <c r="B10" s="2">
        <v>0.12479999999999999</v>
      </c>
    </row>
    <row r="11" spans="1:2" x14ac:dyDescent="0.2">
      <c r="A11" s="3" t="s">
        <v>65</v>
      </c>
      <c r="B11" s="2">
        <v>0.13139999999999999</v>
      </c>
    </row>
    <row r="12" spans="1:2" x14ac:dyDescent="0.2">
      <c r="A12" s="7" t="s">
        <v>47</v>
      </c>
      <c r="B12" s="8">
        <v>1.3956</v>
      </c>
    </row>
    <row r="13" spans="1:2" x14ac:dyDescent="0.2">
      <c r="A13" s="7" t="s">
        <v>48</v>
      </c>
      <c r="B13" s="8">
        <v>1.3835</v>
      </c>
    </row>
    <row r="14" spans="1:2" s="1" customFormat="1" x14ac:dyDescent="0.2">
      <c r="A14" s="7" t="s">
        <v>49</v>
      </c>
      <c r="B14" s="8">
        <v>1.3904000000000001</v>
      </c>
    </row>
    <row r="15" spans="1:2" s="1" customFormat="1" x14ac:dyDescent="0.2">
      <c r="A15" s="7" t="s">
        <v>50</v>
      </c>
      <c r="B15" s="8">
        <v>1.1893</v>
      </c>
    </row>
    <row r="16" spans="1:2" s="1" customFormat="1" x14ac:dyDescent="0.2">
      <c r="A16" s="7" t="s">
        <v>51</v>
      </c>
      <c r="B16" s="8">
        <v>1.446</v>
      </c>
    </row>
    <row r="17" spans="1:2" s="1" customFormat="1" x14ac:dyDescent="0.2">
      <c r="A17" s="3" t="s">
        <v>66</v>
      </c>
      <c r="B17" s="2">
        <v>0.1158</v>
      </c>
    </row>
    <row r="18" spans="1:2" s="1" customFormat="1" x14ac:dyDescent="0.2">
      <c r="A18" s="3" t="s">
        <v>67</v>
      </c>
      <c r="B18" s="2">
        <v>5.3800000000000001E-2</v>
      </c>
    </row>
    <row r="19" spans="1:2" s="1" customFormat="1" x14ac:dyDescent="0.2">
      <c r="A19" s="3" t="s">
        <v>68</v>
      </c>
      <c r="B19" s="2">
        <v>0</v>
      </c>
    </row>
    <row r="20" spans="1:2" s="1" customFormat="1" x14ac:dyDescent="0.2">
      <c r="A20" s="3" t="s">
        <v>69</v>
      </c>
      <c r="B20" s="2">
        <v>4.7199999999999999E-2</v>
      </c>
    </row>
    <row r="21" spans="1:2" s="1" customFormat="1" x14ac:dyDescent="0.2">
      <c r="A21" s="3" t="s">
        <v>70</v>
      </c>
      <c r="B21" s="2">
        <v>0.11210000000000001</v>
      </c>
    </row>
    <row r="22" spans="1:2" s="1" customFormat="1" x14ac:dyDescent="0.2">
      <c r="A22" s="7" t="s">
        <v>52</v>
      </c>
      <c r="B22" s="8">
        <v>1.9973000000000001</v>
      </c>
    </row>
    <row r="23" spans="1:2" s="1" customFormat="1" x14ac:dyDescent="0.2">
      <c r="A23" s="7" t="s">
        <v>53</v>
      </c>
      <c r="B23" s="8">
        <v>2.2157</v>
      </c>
    </row>
    <row r="24" spans="1:2" x14ac:dyDescent="0.2">
      <c r="A24" s="7" t="s">
        <v>54</v>
      </c>
      <c r="B24" s="8">
        <v>1.8138000000000001</v>
      </c>
    </row>
    <row r="25" spans="1:2" x14ac:dyDescent="0.2">
      <c r="A25" s="7" t="s">
        <v>55</v>
      </c>
      <c r="B25" s="8">
        <v>1.5185999999999999</v>
      </c>
    </row>
    <row r="26" spans="1:2" x14ac:dyDescent="0.2">
      <c r="A26" s="7" t="s">
        <v>56</v>
      </c>
      <c r="B26" s="8">
        <v>1.6367</v>
      </c>
    </row>
    <row r="27" spans="1:2" x14ac:dyDescent="0.2">
      <c r="A27" s="3" t="s">
        <v>71</v>
      </c>
      <c r="B27" s="2">
        <v>9.4500000000000001E-2</v>
      </c>
    </row>
    <row r="28" spans="1:2" x14ac:dyDescent="0.2">
      <c r="A28" s="3" t="s">
        <v>72</v>
      </c>
      <c r="B28" s="2">
        <v>9.6799999999999997E-2</v>
      </c>
    </row>
    <row r="29" spans="1:2" x14ac:dyDescent="0.2">
      <c r="A29" s="3" t="s">
        <v>73</v>
      </c>
      <c r="B29" s="2">
        <v>9.8199999999999996E-2</v>
      </c>
    </row>
    <row r="30" spans="1:2" x14ac:dyDescent="0.2">
      <c r="A30" s="3" t="s">
        <v>74</v>
      </c>
      <c r="B30" s="2">
        <v>7.8200000000000006E-2</v>
      </c>
    </row>
    <row r="31" spans="1:2" x14ac:dyDescent="0.2">
      <c r="A31" s="3" t="s">
        <v>75</v>
      </c>
      <c r="B31" s="2">
        <v>0.1089</v>
      </c>
    </row>
    <row r="32" spans="1:2" s="1" customFormat="1" x14ac:dyDescent="0.2">
      <c r="A32" s="7" t="s">
        <v>57</v>
      </c>
      <c r="B32" s="8">
        <v>1.4218999999999999</v>
      </c>
    </row>
    <row r="33" spans="1:2" s="1" customFormat="1" x14ac:dyDescent="0.2">
      <c r="A33" s="7" t="s">
        <v>58</v>
      </c>
      <c r="B33" s="8">
        <v>1.1621999999999999</v>
      </c>
    </row>
    <row r="34" spans="1:2" s="1" customFormat="1" x14ac:dyDescent="0.2">
      <c r="A34" s="7" t="s">
        <v>59</v>
      </c>
      <c r="B34" s="8">
        <v>1.7272000000000001</v>
      </c>
    </row>
    <row r="35" spans="1:2" s="1" customFormat="1" x14ac:dyDescent="0.2">
      <c r="A35" s="7" t="s">
        <v>60</v>
      </c>
      <c r="B35" s="8">
        <v>1.9366000000000001</v>
      </c>
    </row>
    <row r="36" spans="1:2" s="1" customFormat="1" x14ac:dyDescent="0.2">
      <c r="A36" s="7" t="s">
        <v>61</v>
      </c>
      <c r="B36" s="8">
        <v>1.1220000000000001</v>
      </c>
    </row>
    <row r="37" spans="1:2" s="1" customFormat="1" x14ac:dyDescent="0.2">
      <c r="A37" s="3" t="s">
        <v>76</v>
      </c>
      <c r="B37" s="2">
        <v>9.2399999999999996E-2</v>
      </c>
    </row>
    <row r="38" spans="1:2" s="1" customFormat="1" x14ac:dyDescent="0.2">
      <c r="A38" s="3" t="s">
        <v>77</v>
      </c>
      <c r="B38" s="2">
        <v>0.12139999999999999</v>
      </c>
    </row>
    <row r="39" spans="1:2" s="1" customFormat="1" x14ac:dyDescent="0.2">
      <c r="A39" s="3" t="s">
        <v>78</v>
      </c>
      <c r="B39" s="2">
        <v>0.12670000000000001</v>
      </c>
    </row>
    <row r="40" spans="1:2" s="1" customFormat="1" x14ac:dyDescent="0.2">
      <c r="A40" s="3" t="s">
        <v>79</v>
      </c>
      <c r="B40" s="2">
        <v>0.1008</v>
      </c>
    </row>
    <row r="41" spans="1:2" s="1" customFormat="1" x14ac:dyDescent="0.2">
      <c r="A41" s="3" t="s">
        <v>80</v>
      </c>
      <c r="B41" s="2">
        <v>0.111</v>
      </c>
    </row>
  </sheetData>
  <sortState xmlns:xlrd2="http://schemas.microsoft.com/office/spreadsheetml/2017/richdata2" ref="A2:B41">
    <sortCondition ref="A1:A41"/>
  </sortState>
  <phoneticPr fontId="2" type="noConversion"/>
  <conditionalFormatting sqref="A1:A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7</vt:i4>
      </vt:variant>
    </vt:vector>
  </HeadingPairs>
  <TitlesOfParts>
    <vt:vector size="7" baseType="lpstr">
      <vt:lpstr>tot</vt:lpstr>
      <vt:lpstr>metabarcode</vt:lpstr>
      <vt:lpstr>pigments</vt:lpstr>
      <vt:lpstr>pigment reinjection</vt:lpstr>
      <vt:lpstr>untargeted1</vt:lpstr>
      <vt:lpstr>untargeted2</vt:lpstr>
      <vt:lpstr>residuel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Alexandre Desparmet</dc:creator>
  <cp:lastModifiedBy>Alexandre Desparmet</cp:lastModifiedBy>
  <dcterms:created xsi:type="dcterms:W3CDTF">2024-08-19T09:32:39Z</dcterms:created>
  <dcterms:modified xsi:type="dcterms:W3CDTF">2025-10-02T08:59:16Z</dcterms:modified>
</cp:coreProperties>
</file>